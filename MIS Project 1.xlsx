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py\Rufus\"/>
    </mc:Choice>
  </mc:AlternateContent>
  <xr:revisionPtr revIDLastSave="0" documentId="13_ncr:1_{1691F90D-53E2-4413-8C87-11372010273E}" xr6:coauthVersionLast="47" xr6:coauthVersionMax="47" xr10:uidLastSave="{00000000-0000-0000-0000-000000000000}"/>
  <bookViews>
    <workbookView xWindow="-108" yWindow="-108" windowWidth="23256" windowHeight="12456" xr2:uid="{82637F32-1638-4958-B3E5-1CE0D92AC011}"/>
  </bookViews>
  <sheets>
    <sheet name="Dashboard" sheetId="4" r:id="rId1"/>
    <sheet name="Data" sheetId="1" r:id="rId2"/>
    <sheet name="Report" sheetId="3" r:id="rId3"/>
  </sheets>
  <definedNames>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I9" i="3"/>
</calcChain>
</file>

<file path=xl/sharedStrings.xml><?xml version="1.0" encoding="utf-8"?>
<sst xmlns="http://schemas.openxmlformats.org/spreadsheetml/2006/main" count="127" uniqueCount="44">
  <si>
    <t>Source</t>
  </si>
  <si>
    <t>Status</t>
  </si>
  <si>
    <t>District</t>
  </si>
  <si>
    <t>WhatsApp</t>
  </si>
  <si>
    <t>Interested</t>
  </si>
  <si>
    <t>Lucknow</t>
  </si>
  <si>
    <t>Call</t>
  </si>
  <si>
    <t>Converted</t>
  </si>
  <si>
    <t>Kanpur</t>
  </si>
  <si>
    <t>Field</t>
  </si>
  <si>
    <t>Varanasi</t>
  </si>
  <si>
    <t>Pending</t>
  </si>
  <si>
    <t>Prayagraj</t>
  </si>
  <si>
    <t>Gorakhpur</t>
  </si>
  <si>
    <t>Agra</t>
  </si>
  <si>
    <t>Meerut</t>
  </si>
  <si>
    <t>Sales Amount</t>
  </si>
  <si>
    <t>Amit Verma</t>
  </si>
  <si>
    <t>Priya Singh</t>
  </si>
  <si>
    <t>Rakesh Yadav</t>
  </si>
  <si>
    <t>Neha Sharma</t>
  </si>
  <si>
    <t>Sunil Kumar</t>
  </si>
  <si>
    <t>Sonal Gupta</t>
  </si>
  <si>
    <t>Vikram Patel</t>
  </si>
  <si>
    <t>Meera Joshi</t>
  </si>
  <si>
    <t>Aditya Rao</t>
  </si>
  <si>
    <t>Kavita Rao</t>
  </si>
  <si>
    <t>Rajesh Singh</t>
  </si>
  <si>
    <t>Anjali Mishra</t>
  </si>
  <si>
    <t>Tarun Bansal</t>
  </si>
  <si>
    <t>Pooja Verma</t>
  </si>
  <si>
    <t>Deepak Tiwari</t>
  </si>
  <si>
    <t>Lead Name</t>
  </si>
  <si>
    <t>Not Interested</t>
  </si>
  <si>
    <t>Row Labels</t>
  </si>
  <si>
    <t>Grand Total</t>
  </si>
  <si>
    <t>Count of Lead Name</t>
  </si>
  <si>
    <t>Sum of Sales Amount</t>
  </si>
  <si>
    <t>Conversion Rate</t>
  </si>
  <si>
    <t>Total Sales Amount</t>
  </si>
  <si>
    <t>Total leads</t>
  </si>
  <si>
    <t>Converted leads</t>
  </si>
  <si>
    <t>Conversion rate (%)</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</si>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</sst>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left"/>
    </xf>
    <xf numFmtId="0" fontId="2" fillId="2" borderId="0" xfId="0" applyFont="1" applyFill="1"/>
    <xf numFmtId="0" fontId="0" fillId="0" borderId="0" xfId="0" applyNumberFormat="1"/>
  </cellXfs>
  <cellStyles count="1">
    <cellStyle name="Normal" xfId="0" builtinId="0"/>
  </cellStyles>
  <dxfs count="2">
    <dxf>
      <numFmt numFmtId="0" formatCode="General"/>
    </dxf>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assingment-sankar group.xlsx]Report!PivotTable5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Source-wise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Report!$H$13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DC-4AE8-9B77-D8FB81266E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DC-4AE8-9B77-D8FB81266E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7DC-4AE8-9B77-D8FB81266E0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Report!$G$14:$G$17</c:f>
              <c:strCache>
                <c:ptCount val="3"/>
                <c:pt idx="0">
                  <c:v>Call</c:v>
                </c:pt>
                <c:pt idx="1">
                  <c:v>Field</c:v>
                </c:pt>
                <c:pt idx="2">
                  <c:v>WhatsApp</c:v>
                </c:pt>
              </c:strCache>
            </c:strRef>
          </c:cat>
          <c:val>
            <c:numRef>
              <c:f>Report!$H$14:$H$17</c:f>
              <c:numCache>
                <c:formatCode>General</c:formatCode>
                <c:ptCount val="3"/>
                <c:pt idx="0">
                  <c:v>80000</c:v>
                </c:pt>
                <c:pt idx="1">
                  <c:v>63000</c:v>
                </c:pt>
                <c:pt idx="2">
                  <c:v>92000</c:v>
                </c:pt>
              </c:numCache>
            </c:numRef>
          </c:val>
          <c:extLst>
            <c:ext xmlns:c16="http://schemas.microsoft.com/office/drawing/2014/chart" uri="{C3380CC4-5D6E-409C-BE32-E72D297353CC}">
              <c16:uniqueId val="{00000006-37DC-4AE8-9B77-D8FB81266E0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assingment-sankar group.xlsx]Report!PivotTable6</c:name>
    <c:fmtId val="16"/>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District-wise performance </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Report!$E$21</c:f>
              <c:strCache>
                <c:ptCount val="1"/>
                <c:pt idx="0">
                  <c:v>Total</c:v>
                </c:pt>
              </c:strCache>
            </c:strRef>
          </c:tx>
          <c:spPr>
            <a:solidFill>
              <a:schemeClr val="accent1"/>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Report!$D$22:$D$29</c:f>
              <c:strCache>
                <c:ptCount val="7"/>
                <c:pt idx="0">
                  <c:v>Agra</c:v>
                </c:pt>
                <c:pt idx="1">
                  <c:v>Gorakhpur</c:v>
                </c:pt>
                <c:pt idx="2">
                  <c:v>Kanpur</c:v>
                </c:pt>
                <c:pt idx="3">
                  <c:v>Lucknow</c:v>
                </c:pt>
                <c:pt idx="4">
                  <c:v>Meerut</c:v>
                </c:pt>
                <c:pt idx="5">
                  <c:v>Prayagraj</c:v>
                </c:pt>
                <c:pt idx="6">
                  <c:v>Varanasi</c:v>
                </c:pt>
              </c:strCache>
            </c:strRef>
          </c:cat>
          <c:val>
            <c:numRef>
              <c:f>Report!$E$22:$E$29</c:f>
              <c:numCache>
                <c:formatCode>General</c:formatCode>
                <c:ptCount val="7"/>
                <c:pt idx="0">
                  <c:v>27000</c:v>
                </c:pt>
                <c:pt idx="1">
                  <c:v>35000</c:v>
                </c:pt>
                <c:pt idx="2">
                  <c:v>92000</c:v>
                </c:pt>
                <c:pt idx="3">
                  <c:v>27000</c:v>
                </c:pt>
                <c:pt idx="4">
                  <c:v>0</c:v>
                </c:pt>
                <c:pt idx="5">
                  <c:v>36000</c:v>
                </c:pt>
                <c:pt idx="6">
                  <c:v>18000</c:v>
                </c:pt>
              </c:numCache>
            </c:numRef>
          </c:val>
          <c:extLst>
            <c:ext xmlns:c16="http://schemas.microsoft.com/office/drawing/2014/chart" uri="{C3380CC4-5D6E-409C-BE32-E72D297353CC}">
              <c16:uniqueId val="{00000000-1C1B-4638-94C8-B112BC3820C9}"/>
            </c:ext>
          </c:extLst>
        </c:ser>
        <c:dLbls>
          <c:dLblPos val="ctr"/>
          <c:showLegendKey val="0"/>
          <c:showVal val="1"/>
          <c:showCatName val="0"/>
          <c:showSerName val="0"/>
          <c:showPercent val="0"/>
          <c:showBubbleSize val="0"/>
        </c:dLbls>
        <c:gapWidth val="150"/>
        <c:overlap val="100"/>
        <c:axId val="1236369791"/>
        <c:axId val="1236381791"/>
      </c:barChart>
      <c:catAx>
        <c:axId val="123636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381791"/>
        <c:crosses val="autoZero"/>
        <c:auto val="1"/>
        <c:lblAlgn val="ctr"/>
        <c:lblOffset val="100"/>
        <c:noMultiLvlLbl val="0"/>
      </c:catAx>
      <c:valAx>
        <c:axId val="123638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369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assingment-sankar group.xlsx]Report!PivotTable3</c:name>
    <c:fmtId val="9"/>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Status breakdown </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Report!$I$3</c:f>
              <c:strCache>
                <c:ptCount val="1"/>
                <c:pt idx="0">
                  <c:v>Total</c:v>
                </c:pt>
              </c:strCache>
            </c:strRef>
          </c:tx>
          <c:spPr>
            <a:solidFill>
              <a:schemeClr val="accent1"/>
            </a:solidFill>
            <a:ln>
              <a:noFill/>
            </a:ln>
            <a:effectLst/>
            <a:sp3d/>
          </c:spPr>
          <c:invertIfNegative val="0"/>
          <c:cat>
            <c:strRef>
              <c:f>Report!$H$4:$H$7</c:f>
              <c:strCache>
                <c:ptCount val="3"/>
                <c:pt idx="0">
                  <c:v>Converted</c:v>
                </c:pt>
                <c:pt idx="1">
                  <c:v>Interested</c:v>
                </c:pt>
                <c:pt idx="2">
                  <c:v>Not Interested</c:v>
                </c:pt>
              </c:strCache>
            </c:strRef>
          </c:cat>
          <c:val>
            <c:numRef>
              <c:f>Report!$I$4:$I$7</c:f>
              <c:numCache>
                <c:formatCode>General</c:formatCode>
                <c:ptCount val="3"/>
                <c:pt idx="0">
                  <c:v>4</c:v>
                </c:pt>
                <c:pt idx="1">
                  <c:v>6</c:v>
                </c:pt>
                <c:pt idx="2">
                  <c:v>2</c:v>
                </c:pt>
              </c:numCache>
            </c:numRef>
          </c:val>
          <c:extLst>
            <c:ext xmlns:c16="http://schemas.microsoft.com/office/drawing/2014/chart" uri="{C3380CC4-5D6E-409C-BE32-E72D297353CC}">
              <c16:uniqueId val="{00000000-F2B5-4605-8D51-0AD842AACA57}"/>
            </c:ext>
          </c:extLst>
        </c:ser>
        <c:dLbls>
          <c:showLegendKey val="0"/>
          <c:showVal val="0"/>
          <c:showCatName val="0"/>
          <c:showSerName val="0"/>
          <c:showPercent val="0"/>
          <c:showBubbleSize val="0"/>
        </c:dLbls>
        <c:gapWidth val="150"/>
        <c:shape val="box"/>
        <c:axId val="1236408671"/>
        <c:axId val="1236409151"/>
        <c:axId val="0"/>
      </c:bar3DChart>
      <c:catAx>
        <c:axId val="123640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09151"/>
        <c:crosses val="autoZero"/>
        <c:auto val="1"/>
        <c:lblAlgn val="ctr"/>
        <c:lblOffset val="100"/>
        <c:noMultiLvlLbl val="0"/>
      </c:catAx>
      <c:valAx>
        <c:axId val="1236409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0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289560</xdr:colOff>
      <xdr:row>5</xdr:row>
      <xdr:rowOff>137160</xdr:rowOff>
    </xdr:from>
    <xdr:to>
      <xdr:col>22</xdr:col>
      <xdr:colOff>548640</xdr:colOff>
      <xdr:row>24</xdr:row>
      <xdr:rowOff>152400</xdr:rowOff>
    </xdr:to>
    <xdr:sp macro="" textlink="">
      <xdr:nvSpPr>
        <xdr:cNvPr id="12" name="Rectangle: Diagonal Corners Rounded 11">
          <a:extLst>
            <a:ext uri="{FF2B5EF4-FFF2-40B4-BE49-F238E27FC236}">
              <a16:creationId xmlns:a16="http://schemas.microsoft.com/office/drawing/2014/main" id="{D83818E4-2990-7B2A-9498-17138D184501}"/>
            </a:ext>
          </a:extLst>
        </xdr:cNvPr>
        <xdr:cNvSpPr/>
      </xdr:nvSpPr>
      <xdr:spPr>
        <a:xfrm>
          <a:off x="9433560" y="1051560"/>
          <a:ext cx="4526280" cy="3489960"/>
        </a:xfrm>
        <a:prstGeom prst="round2DiagRect">
          <a:avLst/>
        </a:prstGeom>
        <a:solidFill>
          <a:schemeClr val="bg2">
            <a:lumMod val="75000"/>
          </a:schemeClr>
        </a:solidFill>
        <a:effectLst>
          <a:outerShdw blurRad="406400" dist="203200" dir="6600000" sx="96000" sy="96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449580</xdr:colOff>
      <xdr:row>5</xdr:row>
      <xdr:rowOff>160020</xdr:rowOff>
    </xdr:from>
    <xdr:to>
      <xdr:col>15</xdr:col>
      <xdr:colOff>99060</xdr:colOff>
      <xdr:row>24</xdr:row>
      <xdr:rowOff>175260</xdr:rowOff>
    </xdr:to>
    <xdr:sp macro="" textlink="">
      <xdr:nvSpPr>
        <xdr:cNvPr id="11" name="Rectangle: Diagonal Corners Rounded 10">
          <a:extLst>
            <a:ext uri="{FF2B5EF4-FFF2-40B4-BE49-F238E27FC236}">
              <a16:creationId xmlns:a16="http://schemas.microsoft.com/office/drawing/2014/main" id="{FA829E50-DC1C-EEA4-91B9-F589CA20D504}"/>
            </a:ext>
          </a:extLst>
        </xdr:cNvPr>
        <xdr:cNvSpPr/>
      </xdr:nvSpPr>
      <xdr:spPr>
        <a:xfrm>
          <a:off x="4716780" y="1074420"/>
          <a:ext cx="4526280" cy="3489960"/>
        </a:xfrm>
        <a:prstGeom prst="round2DiagRect">
          <a:avLst/>
        </a:prstGeom>
        <a:solidFill>
          <a:schemeClr val="bg2">
            <a:lumMod val="75000"/>
          </a:schemeClr>
        </a:solidFill>
        <a:effectLst>
          <a:outerShdw blurRad="406400" dist="203200" dir="6600000" sx="96000" sy="96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38100</xdr:colOff>
      <xdr:row>5</xdr:row>
      <xdr:rowOff>175260</xdr:rowOff>
    </xdr:from>
    <xdr:to>
      <xdr:col>7</xdr:col>
      <xdr:colOff>297180</xdr:colOff>
      <xdr:row>25</xdr:row>
      <xdr:rowOff>7620</xdr:rowOff>
    </xdr:to>
    <xdr:sp macro="" textlink="">
      <xdr:nvSpPr>
        <xdr:cNvPr id="8" name="Rectangle: Diagonal Corners Rounded 7">
          <a:extLst>
            <a:ext uri="{FF2B5EF4-FFF2-40B4-BE49-F238E27FC236}">
              <a16:creationId xmlns:a16="http://schemas.microsoft.com/office/drawing/2014/main" id="{94D075A6-41AD-DCD9-9359-9C875F8CF1E3}"/>
            </a:ext>
          </a:extLst>
        </xdr:cNvPr>
        <xdr:cNvSpPr/>
      </xdr:nvSpPr>
      <xdr:spPr>
        <a:xfrm>
          <a:off x="38100" y="1089660"/>
          <a:ext cx="4526280" cy="3489960"/>
        </a:xfrm>
        <a:prstGeom prst="round2DiagRect">
          <a:avLst/>
        </a:prstGeom>
        <a:solidFill>
          <a:schemeClr val="bg2">
            <a:lumMod val="75000"/>
          </a:schemeClr>
        </a:solidFill>
        <a:effectLst>
          <a:outerShdw blurRad="406400" dist="203200" dir="6600000" sx="96000" sy="96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7</xdr:row>
      <xdr:rowOff>60960</xdr:rowOff>
    </xdr:from>
    <xdr:to>
      <xdr:col>7</xdr:col>
      <xdr:colOff>152400</xdr:colOff>
      <xdr:row>23</xdr:row>
      <xdr:rowOff>91440</xdr:rowOff>
    </xdr:to>
    <xdr:graphicFrame macro="">
      <xdr:nvGraphicFramePr>
        <xdr:cNvPr id="2" name="Chart 1">
          <a:extLst>
            <a:ext uri="{FF2B5EF4-FFF2-40B4-BE49-F238E27FC236}">
              <a16:creationId xmlns:a16="http://schemas.microsoft.com/office/drawing/2014/main" id="{AD6FF04D-59A5-4BB6-ADC6-287F3CF1D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7</xdr:row>
      <xdr:rowOff>99060</xdr:rowOff>
    </xdr:from>
    <xdr:to>
      <xdr:col>14</xdr:col>
      <xdr:colOff>571500</xdr:colOff>
      <xdr:row>23</xdr:row>
      <xdr:rowOff>60960</xdr:rowOff>
    </xdr:to>
    <xdr:graphicFrame macro="">
      <xdr:nvGraphicFramePr>
        <xdr:cNvPr id="3" name="Chart 2">
          <a:extLst>
            <a:ext uri="{FF2B5EF4-FFF2-40B4-BE49-F238E27FC236}">
              <a16:creationId xmlns:a16="http://schemas.microsoft.com/office/drawing/2014/main" id="{44F0A218-1B14-4452-BF35-5866E3B4F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457200</xdr:colOff>
      <xdr:row>7</xdr:row>
      <xdr:rowOff>68580</xdr:rowOff>
    </xdr:from>
    <xdr:to>
      <xdr:col>22</xdr:col>
      <xdr:colOff>304800</xdr:colOff>
      <xdr:row>23</xdr:row>
      <xdr:rowOff>60960</xdr:rowOff>
    </xdr:to>
    <xdr:graphicFrame macro="">
      <xdr:nvGraphicFramePr>
        <xdr:cNvPr id="5" name="Chart 4">
          <a:extLst>
            <a:ext uri="{FF2B5EF4-FFF2-40B4-BE49-F238E27FC236}">
              <a16:creationId xmlns:a16="http://schemas.microsoft.com/office/drawing/2014/main" id="{77DCCCA1-84A7-4847-BB48-D71439E06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0</xdr:row>
      <xdr:rowOff>68580</xdr:rowOff>
    </xdr:from>
    <xdr:to>
      <xdr:col>22</xdr:col>
      <xdr:colOff>586740</xdr:colOff>
      <xdr:row>5</xdr:row>
      <xdr:rowOff>0</xdr:rowOff>
    </xdr:to>
    <xdr:sp macro="" textlink="">
      <xdr:nvSpPr>
        <xdr:cNvPr id="6" name="Rectangle: Rounded Corners 5">
          <a:extLst>
            <a:ext uri="{FF2B5EF4-FFF2-40B4-BE49-F238E27FC236}">
              <a16:creationId xmlns:a16="http://schemas.microsoft.com/office/drawing/2014/main" id="{8593136F-D330-2AE4-E8B9-B0F8B5DE8F4D}"/>
            </a:ext>
          </a:extLst>
        </xdr:cNvPr>
        <xdr:cNvSpPr/>
      </xdr:nvSpPr>
      <xdr:spPr>
        <a:xfrm>
          <a:off x="53340" y="68580"/>
          <a:ext cx="13944600" cy="845820"/>
        </a:xfrm>
        <a:prstGeom prst="roundRect">
          <a:avLst/>
        </a:prstGeom>
        <a:effectLst>
          <a:outerShdw blurRad="228600" dist="50800" dir="5400000" sx="94000" sy="94000" algn="ctr" rotWithShape="0">
            <a:srgbClr val="000000">
              <a:alpha val="98000"/>
            </a:srgb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4000" b="0">
              <a:solidFill>
                <a:srgbClr val="FF0000"/>
              </a:solidFill>
            </a:rPr>
            <a:t>        </a:t>
          </a:r>
          <a:r>
            <a:rPr lang="en-IN" sz="4000" b="0">
              <a:solidFill>
                <a:schemeClr val="accent2"/>
              </a:solidFill>
            </a:rPr>
            <a:t>Performance Dashboard</a:t>
          </a:r>
        </a:p>
      </xdr:txBody>
    </xdr:sp>
    <xdr:clientData/>
  </xdr:twoCellAnchor>
  <xdr:twoCellAnchor editAs="oneCell">
    <xdr:from>
      <xdr:col>0</xdr:col>
      <xdr:colOff>259080</xdr:colOff>
      <xdr:row>0</xdr:row>
      <xdr:rowOff>175260</xdr:rowOff>
    </xdr:from>
    <xdr:to>
      <xdr:col>1</xdr:col>
      <xdr:colOff>281940</xdr:colOff>
      <xdr:row>4</xdr:row>
      <xdr:rowOff>86360</xdr:rowOff>
    </xdr:to>
    <xdr:pic>
      <xdr:nvPicPr>
        <xdr:cNvPr id="7" name="Graphic 6" descr="Bar graph with upward trend with solid fill">
          <a:extLst>
            <a:ext uri="{FF2B5EF4-FFF2-40B4-BE49-F238E27FC236}">
              <a16:creationId xmlns:a16="http://schemas.microsoft.com/office/drawing/2014/main" id="{D4FCC8D5-C3F2-4463-9FA2-C09E8B5CEF1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9080" y="175260"/>
          <a:ext cx="632460" cy="642620"/>
        </a:xfrm>
        <a:prstGeom prst="rect">
          <a:avLst/>
        </a:prstGeom>
      </xdr:spPr>
    </xdr:pic>
    <xdr:clientData/>
  </xdr:twoCellAnchor>
  <xdr:twoCellAnchor editAs="oneCell">
    <xdr:from>
      <xdr:col>11</xdr:col>
      <xdr:colOff>121920</xdr:colOff>
      <xdr:row>0</xdr:row>
      <xdr:rowOff>144780</xdr:rowOff>
    </xdr:from>
    <xdr:to>
      <xdr:col>22</xdr:col>
      <xdr:colOff>312420</xdr:colOff>
      <xdr:row>4</xdr:row>
      <xdr:rowOff>99060</xdr:rowOff>
    </xdr:to>
    <mc:AlternateContent xmlns:mc="http://schemas.openxmlformats.org/markup-compatibility/2006" xmlns:a14="http://schemas.microsoft.com/office/drawing/2010/main">
      <mc:Choice Requires="a14">
        <xdr:graphicFrame macro="">
          <xdr:nvGraphicFramePr>
            <xdr:cNvPr id="4" name="Status Breakdown">
              <a:extLst>
                <a:ext uri="{FF2B5EF4-FFF2-40B4-BE49-F238E27FC236}">
                  <a16:creationId xmlns:a16="http://schemas.microsoft.com/office/drawing/2014/main" id="{2A67ABC3-6BBF-4D27-9FF3-80C3B3FC8475}"/>
                </a:ext>
              </a:extLst>
            </xdr:cNvPr>
            <xdr:cNvGraphicFramePr/>
          </xdr:nvGraphicFramePr>
          <xdr:xfrm>
            <a:off x="0" y="0"/>
            <a:ext cx="0" cy="0"/>
          </xdr:xfrm>
          <a:graphic>
            <a:graphicData uri="http://schemas.microsoft.com/office/drawing/2010/slicer">
              <sle:slicer xmlns:sle="http://schemas.microsoft.com/office/drawing/2010/slicer" name="Status Breakdown"/>
            </a:graphicData>
          </a:graphic>
        </xdr:graphicFrame>
      </mc:Choice>
      <mc:Fallback xmlns="">
        <xdr:sp macro="" textlink="">
          <xdr:nvSpPr>
            <xdr:cNvPr id="0" name=""/>
            <xdr:cNvSpPr>
              <a:spLocks noTextEdit="1"/>
            </xdr:cNvSpPr>
          </xdr:nvSpPr>
          <xdr:spPr>
            <a:xfrm>
              <a:off x="6827520" y="144780"/>
              <a:ext cx="689610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26</xdr:row>
      <xdr:rowOff>114300</xdr:rowOff>
    </xdr:from>
    <xdr:to>
      <xdr:col>7</xdr:col>
      <xdr:colOff>297180</xdr:colOff>
      <xdr:row>45</xdr:row>
      <xdr:rowOff>129540</xdr:rowOff>
    </xdr:to>
    <xdr:sp macro="" textlink="">
      <xdr:nvSpPr>
        <xdr:cNvPr id="13" name="Rectangle: Diagonal Corners Rounded 12">
          <a:extLst>
            <a:ext uri="{FF2B5EF4-FFF2-40B4-BE49-F238E27FC236}">
              <a16:creationId xmlns:a16="http://schemas.microsoft.com/office/drawing/2014/main" id="{79022A9F-C698-F809-286F-4A47E0BF40C9}"/>
            </a:ext>
          </a:extLst>
        </xdr:cNvPr>
        <xdr:cNvSpPr/>
      </xdr:nvSpPr>
      <xdr:spPr>
        <a:xfrm>
          <a:off x="38100" y="4869180"/>
          <a:ext cx="4526280" cy="3489960"/>
        </a:xfrm>
        <a:prstGeom prst="round2DiagRect">
          <a:avLst/>
        </a:prstGeom>
        <a:solidFill>
          <a:schemeClr val="bg2">
            <a:lumMod val="75000"/>
          </a:schemeClr>
        </a:solidFill>
        <a:effectLst>
          <a:outerShdw blurRad="406400" dist="203200" dir="6600000" sx="96000" sy="96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Which source gives best </a:t>
          </a:r>
          <a:r>
            <a:rPr lang="en-IN" sz="1800" b="1">
              <a:solidFill>
                <a:schemeClr val="lt1"/>
              </a:solidFill>
              <a:latin typeface="+mn-lt"/>
              <a:ea typeface="+mn-ea"/>
              <a:cs typeface="+mn-cs"/>
            </a:rPr>
            <a:t>results</a:t>
          </a:r>
          <a:r>
            <a:rPr lang="en-IN" sz="1800" b="1"/>
            <a:t>?</a:t>
          </a:r>
        </a:p>
        <a:p>
          <a:pPr algn="l"/>
          <a:r>
            <a:rPr lang="en-IN" sz="1200"/>
            <a:t> </a:t>
          </a:r>
          <a:r>
            <a:rPr lang="en-IN" sz="1200" b="0" i="0" u="none" strike="noStrike">
              <a:solidFill>
                <a:schemeClr val="lt1"/>
              </a:solidFill>
              <a:effectLst/>
              <a:latin typeface="+mn-lt"/>
              <a:ea typeface="+mn-ea"/>
              <a:cs typeface="+mn-cs"/>
            </a:rPr>
            <a:t>Source</a:t>
          </a:r>
          <a:r>
            <a:rPr lang="en-IN" sz="1800"/>
            <a:t> 	</a:t>
          </a:r>
          <a:r>
            <a:rPr lang="en-IN" sz="1200" b="0" i="0" u="none" strike="noStrike">
              <a:solidFill>
                <a:schemeClr val="lt1"/>
              </a:solidFill>
              <a:effectLst/>
              <a:latin typeface="+mn-lt"/>
              <a:ea typeface="+mn-ea"/>
              <a:cs typeface="+mn-cs"/>
            </a:rPr>
            <a:t>Total Leads</a:t>
          </a:r>
          <a:r>
            <a:rPr lang="en-IN" sz="1800"/>
            <a:t> </a:t>
          </a:r>
          <a:r>
            <a:rPr lang="en-IN" sz="1200" b="0" i="0" u="none" strike="noStrike">
              <a:solidFill>
                <a:schemeClr val="lt1"/>
              </a:solidFill>
              <a:effectLst/>
              <a:latin typeface="+mn-lt"/>
              <a:ea typeface="+mn-ea"/>
              <a:cs typeface="+mn-cs"/>
            </a:rPr>
            <a:t>Converted</a:t>
          </a:r>
          <a:r>
            <a:rPr lang="en-IN" sz="1800"/>
            <a:t> </a:t>
          </a:r>
          <a:r>
            <a:rPr lang="en-IN" sz="1200" b="0" i="0" u="none" strike="noStrike">
              <a:solidFill>
                <a:schemeClr val="lt1"/>
              </a:solidFill>
              <a:effectLst/>
              <a:latin typeface="+mn-lt"/>
              <a:ea typeface="+mn-ea"/>
              <a:cs typeface="+mn-cs"/>
            </a:rPr>
            <a:t>Conversion Rate</a:t>
          </a:r>
          <a:r>
            <a:rPr lang="en-IN" sz="1800"/>
            <a:t> </a:t>
          </a:r>
        </a:p>
        <a:p>
          <a:pPr algn="l"/>
          <a:r>
            <a:rPr lang="en-IN" sz="1200" b="0" i="0" u="none" strike="noStrike">
              <a:solidFill>
                <a:schemeClr val="lt1"/>
              </a:solidFill>
              <a:effectLst/>
              <a:latin typeface="+mn-lt"/>
              <a:ea typeface="+mn-ea"/>
              <a:cs typeface="+mn-cs"/>
            </a:rPr>
            <a:t>WhatsApp</a:t>
          </a:r>
          <a:r>
            <a:rPr lang="en-IN" sz="1800"/>
            <a:t> 	       </a:t>
          </a:r>
          <a:r>
            <a:rPr lang="en-IN" sz="1200" b="0" i="0" u="none" strike="noStrike">
              <a:solidFill>
                <a:schemeClr val="lt1"/>
              </a:solidFill>
              <a:effectLst/>
              <a:latin typeface="+mn-lt"/>
              <a:ea typeface="+mn-ea"/>
              <a:cs typeface="+mn-cs"/>
            </a:rPr>
            <a:t>5</a:t>
          </a:r>
          <a:r>
            <a:rPr lang="en-IN" sz="1800"/>
            <a:t>                </a:t>
          </a:r>
          <a:r>
            <a:rPr lang="en-IN" sz="1200" b="0" i="0" u="none" strike="noStrike">
              <a:solidFill>
                <a:schemeClr val="lt1"/>
              </a:solidFill>
              <a:effectLst/>
              <a:latin typeface="+mn-lt"/>
              <a:ea typeface="+mn-ea"/>
              <a:cs typeface="+mn-cs"/>
            </a:rPr>
            <a:t>2</a:t>
          </a:r>
          <a:r>
            <a:rPr lang="en-IN" sz="1800"/>
            <a:t>              </a:t>
          </a:r>
          <a:r>
            <a:rPr lang="en-IN" sz="1200" b="0" i="0" u="none" strike="noStrike">
              <a:solidFill>
                <a:schemeClr val="lt1"/>
              </a:solidFill>
              <a:effectLst/>
              <a:latin typeface="+mn-lt"/>
              <a:ea typeface="+mn-ea"/>
              <a:cs typeface="+mn-cs"/>
            </a:rPr>
            <a:t>40.00%</a:t>
          </a:r>
          <a:r>
            <a:rPr lang="en-IN" sz="1800"/>
            <a:t> </a:t>
          </a:r>
        </a:p>
        <a:p>
          <a:pPr algn="l"/>
          <a:r>
            <a:rPr lang="en-IN" sz="1200" b="0" i="0" u="none" strike="noStrike">
              <a:solidFill>
                <a:schemeClr val="lt1"/>
              </a:solidFill>
              <a:effectLst/>
              <a:latin typeface="+mn-lt"/>
              <a:ea typeface="+mn-ea"/>
              <a:cs typeface="+mn-cs"/>
            </a:rPr>
            <a:t>Call</a:t>
          </a:r>
          <a:r>
            <a:rPr lang="en-IN" sz="1800"/>
            <a:t> 	       </a:t>
          </a:r>
          <a:r>
            <a:rPr lang="en-IN" sz="1200" b="0" i="0" u="none" strike="noStrike">
              <a:solidFill>
                <a:schemeClr val="lt1"/>
              </a:solidFill>
              <a:effectLst/>
              <a:latin typeface="+mn-lt"/>
              <a:ea typeface="+mn-ea"/>
              <a:cs typeface="+mn-cs"/>
            </a:rPr>
            <a:t>5                      </a:t>
          </a:r>
          <a:r>
            <a:rPr lang="en-IN" sz="1800"/>
            <a:t> </a:t>
          </a:r>
          <a:r>
            <a:rPr lang="en-IN" sz="1200" b="0" i="0" u="none" strike="noStrike">
              <a:solidFill>
                <a:schemeClr val="lt1"/>
              </a:solidFill>
              <a:effectLst/>
              <a:latin typeface="+mn-lt"/>
              <a:ea typeface="+mn-ea"/>
              <a:cs typeface="+mn-cs"/>
            </a:rPr>
            <a:t>1</a:t>
          </a:r>
          <a:r>
            <a:rPr lang="en-IN" sz="1800"/>
            <a:t>              </a:t>
          </a:r>
          <a:r>
            <a:rPr lang="en-IN" sz="1200" b="0" i="0" u="none" strike="noStrike">
              <a:solidFill>
                <a:schemeClr val="lt1"/>
              </a:solidFill>
              <a:effectLst/>
              <a:latin typeface="+mn-lt"/>
              <a:ea typeface="+mn-ea"/>
              <a:cs typeface="+mn-cs"/>
            </a:rPr>
            <a:t>20.00%</a:t>
          </a:r>
          <a:r>
            <a:rPr lang="en-IN" sz="1800"/>
            <a:t> </a:t>
          </a:r>
        </a:p>
        <a:p>
          <a:pPr algn="l"/>
          <a:r>
            <a:rPr lang="en-IN" sz="1200" b="0" i="0" u="none" strike="noStrike">
              <a:solidFill>
                <a:schemeClr val="lt1"/>
              </a:solidFill>
              <a:effectLst/>
              <a:latin typeface="+mn-lt"/>
              <a:ea typeface="+mn-ea"/>
              <a:cs typeface="+mn-cs"/>
            </a:rPr>
            <a:t>Field                              </a:t>
          </a:r>
          <a:r>
            <a:rPr lang="en-IN" sz="1800"/>
            <a:t> </a:t>
          </a:r>
          <a:r>
            <a:rPr lang="en-IN" sz="1200" b="0" i="0" u="none" strike="noStrike">
              <a:solidFill>
                <a:schemeClr val="lt1"/>
              </a:solidFill>
              <a:effectLst/>
              <a:latin typeface="+mn-lt"/>
              <a:ea typeface="+mn-ea"/>
              <a:cs typeface="+mn-cs"/>
            </a:rPr>
            <a:t>5</a:t>
          </a:r>
          <a:r>
            <a:rPr lang="en-IN" sz="1800"/>
            <a:t>                </a:t>
          </a:r>
          <a:r>
            <a:rPr lang="en-IN" sz="1200" b="0" i="0" u="none" strike="noStrike">
              <a:solidFill>
                <a:schemeClr val="lt1"/>
              </a:solidFill>
              <a:effectLst/>
              <a:latin typeface="+mn-lt"/>
              <a:ea typeface="+mn-ea"/>
              <a:cs typeface="+mn-cs"/>
            </a:rPr>
            <a:t>1                     20.00%</a:t>
          </a:r>
          <a:r>
            <a:rPr lang="en-IN" sz="1800"/>
            <a:t> </a:t>
          </a:r>
        </a:p>
        <a:p>
          <a:pPr algn="l"/>
          <a:r>
            <a:rPr lang="en-IN" sz="1100" b="0" i="0">
              <a:solidFill>
                <a:schemeClr val="lt1"/>
              </a:solidFill>
              <a:effectLst/>
              <a:latin typeface="+mn-lt"/>
              <a:ea typeface="+mn-ea"/>
              <a:cs typeface="+mn-cs"/>
            </a:rPr>
            <a:t>conversion rate</a:t>
          </a:r>
          <a:r>
            <a:rPr lang="en-IN" sz="1100">
              <a:solidFill>
                <a:schemeClr val="lt1"/>
              </a:solidFill>
              <a:effectLst/>
              <a:latin typeface="+mn-lt"/>
              <a:ea typeface="+mn-ea"/>
              <a:cs typeface="+mn-cs"/>
            </a:rPr>
            <a:t> </a:t>
          </a:r>
          <a:r>
            <a:rPr lang="en-IN" sz="1200" b="0" i="0" u="none" strike="noStrike">
              <a:solidFill>
                <a:schemeClr val="lt1"/>
              </a:solidFill>
              <a:effectLst/>
              <a:latin typeface="+mn-lt"/>
              <a:ea typeface="+mn-ea"/>
              <a:cs typeface="+mn-cs"/>
            </a:rPr>
            <a:t>WhatsApp: 5 leads, 2 converted → 40% </a:t>
          </a:r>
        </a:p>
        <a:p>
          <a:pPr algn="l"/>
          <a:r>
            <a:rPr lang="en-IN" sz="1200" b="0" i="0" u="none" strike="noStrike">
              <a:solidFill>
                <a:schemeClr val="lt1"/>
              </a:solidFill>
              <a:effectLst/>
              <a:latin typeface="+mn-lt"/>
              <a:ea typeface="+mn-ea"/>
              <a:cs typeface="+mn-cs"/>
            </a:rPr>
            <a:t>conversion rate</a:t>
          </a:r>
          <a:r>
            <a:rPr lang="en-IN" sz="1800"/>
            <a:t> </a:t>
          </a:r>
          <a:r>
            <a:rPr lang="en-IN" sz="1200" b="0" i="0" u="none" strike="noStrike">
              <a:solidFill>
                <a:schemeClr val="lt1"/>
              </a:solidFill>
              <a:effectLst/>
              <a:latin typeface="+mn-lt"/>
              <a:ea typeface="+mn-ea"/>
              <a:cs typeface="+mn-cs"/>
            </a:rPr>
            <a:t>Call: 5 leads, 1 converted → 20% </a:t>
          </a:r>
        </a:p>
        <a:p>
          <a:pPr algn="l"/>
          <a:r>
            <a:rPr lang="en-IN" sz="1200" b="0" i="0" u="none" strike="noStrike">
              <a:solidFill>
                <a:schemeClr val="lt1"/>
              </a:solidFill>
              <a:effectLst/>
              <a:latin typeface="+mn-lt"/>
              <a:ea typeface="+mn-ea"/>
              <a:cs typeface="+mn-cs"/>
            </a:rPr>
            <a:t>conversion rate</a:t>
          </a:r>
          <a:r>
            <a:rPr lang="en-IN" sz="1800"/>
            <a:t> </a:t>
          </a:r>
          <a:r>
            <a:rPr lang="en-IN" sz="1200" b="0" i="0" u="none" strike="noStrike">
              <a:solidFill>
                <a:schemeClr val="lt1"/>
              </a:solidFill>
              <a:effectLst/>
              <a:latin typeface="+mn-lt"/>
              <a:ea typeface="+mn-ea"/>
              <a:cs typeface="+mn-cs"/>
            </a:rPr>
            <a:t>Field: 5 leads, 1 converted → 20% </a:t>
          </a:r>
        </a:p>
        <a:p>
          <a:pPr algn="l"/>
          <a:r>
            <a:rPr lang="en-IN" sz="1200" b="0" i="0" u="none" strike="noStrike">
              <a:solidFill>
                <a:schemeClr val="lt1"/>
              </a:solidFill>
              <a:effectLst/>
              <a:latin typeface="+mn-lt"/>
              <a:ea typeface="+mn-ea"/>
              <a:cs typeface="+mn-cs"/>
            </a:rPr>
            <a:t>conversion rate</a:t>
          </a:r>
          <a:r>
            <a:rPr lang="en-IN" sz="1800"/>
            <a:t> </a:t>
          </a:r>
          <a:r>
            <a:rPr lang="en-IN" sz="1200" b="0" i="0" u="none" strike="noStrike">
              <a:solidFill>
                <a:schemeClr val="lt1"/>
              </a:solidFill>
              <a:effectLst/>
              <a:latin typeface="+mn-lt"/>
              <a:ea typeface="+mn-ea"/>
              <a:cs typeface="+mn-cs"/>
            </a:rPr>
            <a:t>Best source: </a:t>
          </a:r>
          <a:r>
            <a:rPr lang="en-IN" sz="1200" b="0" i="0" u="none" strike="noStrike">
              <a:solidFill>
                <a:srgbClr val="FF0000"/>
              </a:solidFill>
              <a:effectLst/>
              <a:latin typeface="+mn-lt"/>
              <a:ea typeface="+mn-ea"/>
              <a:cs typeface="+mn-cs"/>
            </a:rPr>
            <a:t>WhatsApp gives the best results with 40% conversion rate (2 out of 5 leads converted).</a:t>
          </a:r>
          <a:r>
            <a:rPr lang="en-IN" sz="1800">
              <a:solidFill>
                <a:srgbClr val="FF0000"/>
              </a:solidFill>
            </a:rPr>
            <a:t>  </a:t>
          </a:r>
          <a:endParaRPr lang="en-IN" sz="1800" b="1">
            <a:solidFill>
              <a:srgbClr val="FF0000"/>
            </a:solidFill>
          </a:endParaRPr>
        </a:p>
      </xdr:txBody>
    </xdr:sp>
    <xdr:clientData/>
  </xdr:twoCellAnchor>
  <xdr:twoCellAnchor>
    <xdr:from>
      <xdr:col>7</xdr:col>
      <xdr:colOff>457200</xdr:colOff>
      <xdr:row>26</xdr:row>
      <xdr:rowOff>91440</xdr:rowOff>
    </xdr:from>
    <xdr:to>
      <xdr:col>15</xdr:col>
      <xdr:colOff>106680</xdr:colOff>
      <xdr:row>45</xdr:row>
      <xdr:rowOff>106680</xdr:rowOff>
    </xdr:to>
    <xdr:sp macro="" textlink="">
      <xdr:nvSpPr>
        <xdr:cNvPr id="14" name="Rectangle: Diagonal Corners Rounded 13">
          <a:extLst>
            <a:ext uri="{FF2B5EF4-FFF2-40B4-BE49-F238E27FC236}">
              <a16:creationId xmlns:a16="http://schemas.microsoft.com/office/drawing/2014/main" id="{5FFCCAC3-72C8-4451-5C35-7861D37E121A}"/>
            </a:ext>
          </a:extLst>
        </xdr:cNvPr>
        <xdr:cNvSpPr/>
      </xdr:nvSpPr>
      <xdr:spPr>
        <a:xfrm>
          <a:off x="4724400" y="4846320"/>
          <a:ext cx="4526280" cy="3489960"/>
        </a:xfrm>
        <a:prstGeom prst="round2DiagRect">
          <a:avLst/>
        </a:prstGeom>
        <a:solidFill>
          <a:schemeClr val="bg2">
            <a:lumMod val="75000"/>
          </a:schemeClr>
        </a:solidFill>
        <a:effectLst>
          <a:outerShdw blurRad="406400" dist="203200" dir="6600000" sx="96000" sy="96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Which district is performing low? </a:t>
          </a:r>
        </a:p>
        <a:p>
          <a:r>
            <a:rPr lang="en-IN" sz="1200" b="0" i="0">
              <a:solidFill>
                <a:schemeClr val="lt1"/>
              </a:solidFill>
              <a:effectLst/>
              <a:latin typeface="+mn-lt"/>
              <a:ea typeface="+mn-ea"/>
              <a:cs typeface="+mn-cs"/>
            </a:rPr>
            <a:t>Sales by district :</a:t>
          </a:r>
        </a:p>
        <a:p>
          <a:r>
            <a:rPr lang="en-IN" sz="1200" b="0" i="0">
              <a:solidFill>
                <a:schemeClr val="lt1"/>
              </a:solidFill>
              <a:effectLst/>
              <a:latin typeface="+mn-lt"/>
              <a:ea typeface="+mn-ea"/>
              <a:cs typeface="+mn-cs"/>
            </a:rPr>
            <a:t>Agra 27,000; </a:t>
          </a:r>
        </a:p>
        <a:p>
          <a:r>
            <a:rPr lang="en-IN" sz="1200" b="0" i="0">
              <a:solidFill>
                <a:schemeClr val="lt1"/>
              </a:solidFill>
              <a:effectLst/>
              <a:latin typeface="+mn-lt"/>
              <a:ea typeface="+mn-ea"/>
              <a:cs typeface="+mn-cs"/>
            </a:rPr>
            <a:t>Gorakhpur 35,000; </a:t>
          </a:r>
        </a:p>
        <a:p>
          <a:r>
            <a:rPr lang="en-IN" sz="1200" b="0" i="0">
              <a:solidFill>
                <a:schemeClr val="lt1"/>
              </a:solidFill>
              <a:effectLst/>
              <a:latin typeface="+mn-lt"/>
              <a:ea typeface="+mn-ea"/>
              <a:cs typeface="+mn-cs"/>
            </a:rPr>
            <a:t>Kanpur 92,000; </a:t>
          </a:r>
        </a:p>
        <a:p>
          <a:r>
            <a:rPr lang="en-IN" sz="1200" b="0" i="0">
              <a:solidFill>
                <a:schemeClr val="lt1"/>
              </a:solidFill>
              <a:effectLst/>
              <a:latin typeface="+mn-lt"/>
              <a:ea typeface="+mn-ea"/>
              <a:cs typeface="+mn-cs"/>
            </a:rPr>
            <a:t>Lucknow 27,000; </a:t>
          </a:r>
        </a:p>
        <a:p>
          <a:r>
            <a:rPr lang="en-IN" sz="1200" b="0" i="0">
              <a:solidFill>
                <a:schemeClr val="lt1"/>
              </a:solidFill>
              <a:effectLst/>
              <a:latin typeface="+mn-lt"/>
              <a:ea typeface="+mn-ea"/>
              <a:cs typeface="+mn-cs"/>
            </a:rPr>
            <a:t>Meerut 0; </a:t>
          </a:r>
        </a:p>
        <a:p>
          <a:r>
            <a:rPr lang="en-IN" sz="1200" b="0" i="0">
              <a:solidFill>
                <a:schemeClr val="lt1"/>
              </a:solidFill>
              <a:effectLst/>
              <a:latin typeface="+mn-lt"/>
              <a:ea typeface="+mn-ea"/>
              <a:cs typeface="+mn-cs"/>
            </a:rPr>
            <a:t>Prayagraj 36,000; </a:t>
          </a:r>
        </a:p>
        <a:p>
          <a:r>
            <a:rPr lang="en-IN" sz="1200" b="0" i="0">
              <a:solidFill>
                <a:schemeClr val="lt1"/>
              </a:solidFill>
              <a:effectLst/>
              <a:latin typeface="+mn-lt"/>
              <a:ea typeface="+mn-ea"/>
              <a:cs typeface="+mn-cs"/>
            </a:rPr>
            <a:t>Varanasi 18,000; </a:t>
          </a:r>
        </a:p>
        <a:p>
          <a:r>
            <a:rPr lang="en-IN" sz="1200" b="0" i="0">
              <a:solidFill>
                <a:schemeClr val="lt1"/>
              </a:solidFill>
              <a:effectLst/>
              <a:latin typeface="+mn-lt"/>
              <a:ea typeface="+mn-ea"/>
              <a:cs typeface="+mn-cs"/>
            </a:rPr>
            <a:t>Total 235,000.</a:t>
          </a:r>
        </a:p>
        <a:p>
          <a:r>
            <a:rPr lang="en-IN" sz="1200" b="0" i="0">
              <a:solidFill>
                <a:srgbClr val="FF0000"/>
              </a:solidFill>
              <a:effectLst/>
              <a:latin typeface="+mn-lt"/>
              <a:ea typeface="+mn-ea"/>
              <a:cs typeface="+mn-cs"/>
            </a:rPr>
            <a:t>Meerut’s contribution: 0 of 235,000, i.e., 0% of total sales.</a:t>
          </a:r>
        </a:p>
        <a:p>
          <a:r>
            <a:rPr lang="en-IN" sz="1200" b="0" i="0">
              <a:solidFill>
                <a:srgbClr val="FF0000"/>
              </a:solidFill>
              <a:effectLst/>
              <a:latin typeface="+mn-lt"/>
              <a:ea typeface="+mn-ea"/>
              <a:cs typeface="+mn-cs"/>
            </a:rPr>
            <a:t>Implication: Meerut has no recorded sales in this dataset.</a:t>
          </a:r>
          <a:endParaRPr lang="en-IN" sz="1800" b="1"/>
        </a:p>
      </xdr:txBody>
    </xdr:sp>
    <xdr:clientData/>
  </xdr:twoCellAnchor>
  <xdr:twoCellAnchor>
    <xdr:from>
      <xdr:col>15</xdr:col>
      <xdr:colOff>251460</xdr:colOff>
      <xdr:row>26</xdr:row>
      <xdr:rowOff>38100</xdr:rowOff>
    </xdr:from>
    <xdr:to>
      <xdr:col>22</xdr:col>
      <xdr:colOff>510540</xdr:colOff>
      <xdr:row>45</xdr:row>
      <xdr:rowOff>53340</xdr:rowOff>
    </xdr:to>
    <xdr:sp macro="" textlink="">
      <xdr:nvSpPr>
        <xdr:cNvPr id="15" name="Rectangle: Diagonal Corners Rounded 14">
          <a:extLst>
            <a:ext uri="{FF2B5EF4-FFF2-40B4-BE49-F238E27FC236}">
              <a16:creationId xmlns:a16="http://schemas.microsoft.com/office/drawing/2014/main" id="{7CFD6C4E-F7A1-C4AB-98AB-59580A95889E}"/>
            </a:ext>
          </a:extLst>
        </xdr:cNvPr>
        <xdr:cNvSpPr/>
      </xdr:nvSpPr>
      <xdr:spPr>
        <a:xfrm>
          <a:off x="9395460" y="4792980"/>
          <a:ext cx="4526280" cy="3489960"/>
        </a:xfrm>
        <a:prstGeom prst="round2DiagRect">
          <a:avLst/>
        </a:prstGeom>
        <a:solidFill>
          <a:schemeClr val="bg2">
            <a:lumMod val="75000"/>
          </a:schemeClr>
        </a:solidFill>
        <a:effectLst>
          <a:outerShdw blurRad="406400" dist="203200" dir="6600000" sx="96000" sy="96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Give 2 suggestions to improve performance</a:t>
          </a:r>
        </a:p>
        <a:p>
          <a:pPr algn="l"/>
          <a:endParaRPr lang="en-IN" sz="1600" b="1"/>
        </a:p>
        <a:p>
          <a:r>
            <a:rPr lang="en-IN" sz="1200" b="1" i="0">
              <a:solidFill>
                <a:srgbClr val="FF0000"/>
              </a:solidFill>
              <a:effectLst/>
              <a:latin typeface="+mn-lt"/>
              <a:ea typeface="+mn-ea"/>
              <a:cs typeface="+mn-cs"/>
            </a:rPr>
            <a:t>Focus more on Converted leads.</a:t>
          </a:r>
          <a:br>
            <a:rPr lang="en-IN" sz="1100" b="0" i="0">
              <a:solidFill>
                <a:schemeClr val="lt1"/>
              </a:solidFill>
              <a:effectLst/>
              <a:latin typeface="+mn-lt"/>
              <a:ea typeface="+mn-ea"/>
              <a:cs typeface="+mn-cs"/>
            </a:rPr>
          </a:br>
          <a:r>
            <a:rPr lang="en-IN" sz="1100" b="0" i="0">
              <a:solidFill>
                <a:schemeClr val="lt1"/>
              </a:solidFill>
              <a:effectLst/>
              <a:latin typeface="+mn-lt"/>
              <a:ea typeface="+mn-ea"/>
              <a:cs typeface="+mn-cs"/>
            </a:rPr>
            <a:t>Highest sales are coming from leads with the status </a:t>
          </a:r>
          <a:r>
            <a:rPr lang="en-IN" sz="1100" b="1" i="0">
              <a:solidFill>
                <a:schemeClr val="lt1"/>
              </a:solidFill>
              <a:effectLst/>
              <a:latin typeface="+mn-lt"/>
              <a:ea typeface="+mn-ea"/>
              <a:cs typeface="+mn-cs"/>
            </a:rPr>
            <a:t>Converted</a:t>
          </a:r>
          <a:r>
            <a:rPr lang="en-IN" sz="1100" b="0" i="0">
              <a:solidFill>
                <a:schemeClr val="lt1"/>
              </a:solidFill>
              <a:effectLst/>
              <a:latin typeface="+mn-lt"/>
              <a:ea typeface="+mn-ea"/>
              <a:cs typeface="+mn-cs"/>
            </a:rPr>
            <a:t> like Priya Singh (42,000), Sonal Gupta (35,000), and Kavita Rao (50,000). Give priority to converting more leads in this status by doing faster follow-ups, sharing offers, and closing within a short time window.</a:t>
          </a:r>
        </a:p>
        <a:p>
          <a:endParaRPr lang="en-IN" sz="1100" b="0" i="0">
            <a:solidFill>
              <a:schemeClr val="lt1"/>
            </a:solidFill>
            <a:effectLst/>
            <a:latin typeface="+mn-lt"/>
            <a:ea typeface="+mn-ea"/>
            <a:cs typeface="+mn-cs"/>
          </a:endParaRPr>
        </a:p>
        <a:p>
          <a:r>
            <a:rPr lang="en-IN" sz="1200" b="1" i="0">
              <a:solidFill>
                <a:srgbClr val="FF0000"/>
              </a:solidFill>
              <a:effectLst/>
              <a:latin typeface="+mn-lt"/>
              <a:ea typeface="+mn-ea"/>
              <a:cs typeface="+mn-cs"/>
            </a:rPr>
            <a:t>Work on low-performing districts like Meerut and Varanasi.</a:t>
          </a:r>
          <a:br>
            <a:rPr lang="en-IN" sz="1100" b="0" i="0">
              <a:solidFill>
                <a:schemeClr val="lt1"/>
              </a:solidFill>
              <a:effectLst/>
              <a:latin typeface="+mn-lt"/>
              <a:ea typeface="+mn-ea"/>
              <a:cs typeface="+mn-cs"/>
            </a:rPr>
          </a:br>
          <a:r>
            <a:rPr lang="en-IN" sz="1100" b="0" i="0">
              <a:solidFill>
                <a:schemeClr val="lt1"/>
              </a:solidFill>
              <a:effectLst/>
              <a:latin typeface="+mn-lt"/>
              <a:ea typeface="+mn-ea"/>
              <a:cs typeface="+mn-cs"/>
            </a:rPr>
            <a:t>Meerut has </a:t>
          </a:r>
          <a:r>
            <a:rPr lang="en-IN" sz="1100" b="1" i="0">
              <a:solidFill>
                <a:schemeClr val="lt1"/>
              </a:solidFill>
              <a:effectLst/>
              <a:latin typeface="+mn-lt"/>
              <a:ea typeface="+mn-ea"/>
              <a:cs typeface="+mn-cs"/>
            </a:rPr>
            <a:t>0 sales</a:t>
          </a:r>
          <a:r>
            <a:rPr lang="en-IN" sz="1100" b="0" i="0">
              <a:solidFill>
                <a:schemeClr val="lt1"/>
              </a:solidFill>
              <a:effectLst/>
              <a:latin typeface="+mn-lt"/>
              <a:ea typeface="+mn-ea"/>
              <a:cs typeface="+mn-cs"/>
            </a:rPr>
            <a:t> in this sheet, and Varanasi is also weaker compared to Kanpur and Gorakhpur. You should check whether the issue is poor lead quality, weak follow-up, or lack of field activity in these districts, then assign more calls or field visits there.</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9.525574305553" createdVersion="8" refreshedVersion="8" minRefreshableVersion="3" recordCount="15" xr:uid="{CC0C71C4-3457-4160-81F4-F1920441BEBC}">
  <cacheSource type="worksheet">
    <worksheetSource name="Table1"/>
  </cacheSource>
  <cacheFields count="5">
    <cacheField name="Lead Name" numFmtId="0">
      <sharedItems count="15">
        <s v="Amit Verma"/>
        <s v="Priya Singh"/>
        <s v="Rakesh Yadav"/>
        <s v="Neha Sharma"/>
        <s v="Sunil Kumar"/>
        <s v="Sonal Gupta"/>
        <s v="Vikram Patel"/>
        <s v="Meera Joshi"/>
        <s v="Aditya Rao"/>
        <s v="Kavita Rao"/>
        <s v="Rajesh Singh"/>
        <s v="Anjali Mishra"/>
        <s v="Tarun Bansal"/>
        <s v="Pooja Verma"/>
        <s v="Deepak Tiwari"/>
      </sharedItems>
    </cacheField>
    <cacheField name="Source" numFmtId="0">
      <sharedItems count="3">
        <s v="WhatsApp"/>
        <s v="Call"/>
        <s v="Field"/>
      </sharedItems>
    </cacheField>
    <cacheField name="Status" numFmtId="0">
      <sharedItems count="4">
        <s v="Interested"/>
        <s v="Converted"/>
        <s v="Pending"/>
        <s v="Not Interested"/>
      </sharedItems>
    </cacheField>
    <cacheField name="District" numFmtId="0">
      <sharedItems count="7">
        <s v="Lucknow"/>
        <s v="Kanpur"/>
        <s v="Varanasi"/>
        <s v="Prayagraj"/>
        <s v="Gorakhpur"/>
        <s v="Agra"/>
        <s v="Meerut"/>
      </sharedItems>
    </cacheField>
    <cacheField name="Sales Amount" numFmtId="0">
      <sharedItems containsSemiMixedTypes="0" containsString="0" containsNumber="1" containsInteger="1" minValue="0" maxValue="50000" count="10">
        <n v="15000"/>
        <n v="42000"/>
        <n v="0"/>
        <n v="20000"/>
        <n v="35000"/>
        <n v="12000"/>
        <n v="50000"/>
        <n v="18000"/>
        <n v="27000"/>
        <n v="16000"/>
      </sharedItems>
    </cacheField>
  </cacheFields>
  <extLst>
    <ext xmlns:x14="http://schemas.microsoft.com/office/spreadsheetml/2009/9/main" uri="{725AE2AE-9491-48be-B2B4-4EB974FC3084}">
      <x14:pivotCacheDefinition pivotCacheId="112001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r>
  <r>
    <x v="1"/>
    <x v="1"/>
    <x v="1"/>
    <x v="1"/>
    <x v="1"/>
  </r>
  <r>
    <x v="2"/>
    <x v="2"/>
    <x v="0"/>
    <x v="2"/>
    <x v="2"/>
  </r>
  <r>
    <x v="3"/>
    <x v="0"/>
    <x v="2"/>
    <x v="0"/>
    <x v="2"/>
  </r>
  <r>
    <x v="4"/>
    <x v="1"/>
    <x v="0"/>
    <x v="3"/>
    <x v="3"/>
  </r>
  <r>
    <x v="5"/>
    <x v="2"/>
    <x v="1"/>
    <x v="4"/>
    <x v="4"/>
  </r>
  <r>
    <x v="6"/>
    <x v="0"/>
    <x v="3"/>
    <x v="5"/>
    <x v="2"/>
  </r>
  <r>
    <x v="7"/>
    <x v="1"/>
    <x v="2"/>
    <x v="6"/>
    <x v="2"/>
  </r>
  <r>
    <x v="8"/>
    <x v="2"/>
    <x v="0"/>
    <x v="0"/>
    <x v="5"/>
  </r>
  <r>
    <x v="9"/>
    <x v="0"/>
    <x v="1"/>
    <x v="1"/>
    <x v="6"/>
  </r>
  <r>
    <x v="10"/>
    <x v="1"/>
    <x v="0"/>
    <x v="2"/>
    <x v="7"/>
  </r>
  <r>
    <x v="11"/>
    <x v="2"/>
    <x v="2"/>
    <x v="4"/>
    <x v="2"/>
  </r>
  <r>
    <x v="12"/>
    <x v="0"/>
    <x v="1"/>
    <x v="5"/>
    <x v="8"/>
  </r>
  <r>
    <x v="13"/>
    <x v="1"/>
    <x v="0"/>
    <x v="6"/>
    <x v="2"/>
  </r>
  <r>
    <x v="14"/>
    <x v="2"/>
    <x v="3"/>
    <x v="3"/>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437E0-F1C3-4FB5-B25C-2338EB9C25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F9" firstHeaderRow="0" firstDataRow="1" firstDataCol="1"/>
  <pivotFields count="5">
    <pivotField axis="axisRow" dataField="1" showAll="0">
      <items count="16">
        <item x="8"/>
        <item x="0"/>
        <item x="11"/>
        <item x="14"/>
        <item x="9"/>
        <item x="7"/>
        <item x="3"/>
        <item x="13"/>
        <item x="1"/>
        <item x="10"/>
        <item x="2"/>
        <item x="5"/>
        <item x="4"/>
        <item x="12"/>
        <item x="6"/>
        <item t="default"/>
      </items>
    </pivotField>
    <pivotField showAll="0">
      <items count="4">
        <item x="1"/>
        <item x="2"/>
        <item x="0"/>
        <item t="default"/>
      </items>
    </pivotField>
    <pivotField axis="axisRow" showAll="0">
      <items count="5">
        <item x="1"/>
        <item h="1" x="0"/>
        <item h="1" x="3"/>
        <item h="1" x="2"/>
        <item t="default"/>
      </items>
    </pivotField>
    <pivotField showAll="0"/>
    <pivotField dataField="1" showAll="0"/>
  </pivotFields>
  <rowFields count="2">
    <field x="2"/>
    <field x="0"/>
  </rowFields>
  <rowItems count="6">
    <i>
      <x/>
    </i>
    <i r="1">
      <x v="4"/>
    </i>
    <i r="1">
      <x v="8"/>
    </i>
    <i r="1">
      <x v="11"/>
    </i>
    <i r="1">
      <x v="13"/>
    </i>
    <i t="grand">
      <x/>
    </i>
  </rowItems>
  <colFields count="1">
    <field x="-2"/>
  </colFields>
  <colItems count="2">
    <i>
      <x/>
    </i>
    <i i="1">
      <x v="1"/>
    </i>
  </colItems>
  <dataFields count="2">
    <dataField name="Sum of Sales Amount" fld="4" baseField="0" baseItem="0"/>
    <dataField name="Count of Lead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DBBB9-CE5D-49F6-9B1B-96C8DDAAD0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5">
    <pivotField axis="axisRow" dataField="1" showAll="0">
      <items count="16">
        <item x="8"/>
        <item x="0"/>
        <item x="11"/>
        <item x="14"/>
        <item x="9"/>
        <item x="7"/>
        <item x="3"/>
        <item x="13"/>
        <item x="1"/>
        <item x="10"/>
        <item x="2"/>
        <item x="5"/>
        <item x="4"/>
        <item x="12"/>
        <item x="6"/>
        <item t="default"/>
      </items>
    </pivotField>
    <pivotField showAll="0">
      <items count="4">
        <item x="1"/>
        <item x="2"/>
        <item x="0"/>
        <item t="default"/>
      </items>
    </pivotField>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Lead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CD25A7-44A6-4233-AF1B-3C95C62492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1:E29" firstHeaderRow="1" firstDataRow="1" firstDataCol="1"/>
  <pivotFields count="5">
    <pivotField showAll="0">
      <items count="16">
        <item x="8"/>
        <item x="0"/>
        <item x="11"/>
        <item x="14"/>
        <item x="9"/>
        <item x="7"/>
        <item x="3"/>
        <item x="13"/>
        <item x="1"/>
        <item x="10"/>
        <item x="2"/>
        <item x="5"/>
        <item x="4"/>
        <item x="12"/>
        <item x="6"/>
        <item t="default"/>
      </items>
    </pivotField>
    <pivotField showAll="0">
      <items count="4">
        <item x="1"/>
        <item x="2"/>
        <item x="0"/>
        <item t="default"/>
      </items>
    </pivotField>
    <pivotField showAll="0">
      <items count="5">
        <item x="1"/>
        <item x="0"/>
        <item x="3"/>
        <item x="2"/>
        <item t="default"/>
      </items>
    </pivotField>
    <pivotField axis="axisRow" showAll="0">
      <items count="8">
        <item x="5"/>
        <item x="4"/>
        <item x="1"/>
        <item x="0"/>
        <item x="6"/>
        <item x="3"/>
        <item x="2"/>
        <item t="default"/>
      </items>
    </pivotField>
    <pivotField dataField="1" showAll="0"/>
  </pivotFields>
  <rowFields count="1">
    <field x="3"/>
  </rowFields>
  <rowItems count="8">
    <i>
      <x/>
    </i>
    <i>
      <x v="1"/>
    </i>
    <i>
      <x v="2"/>
    </i>
    <i>
      <x v="3"/>
    </i>
    <i>
      <x v="4"/>
    </i>
    <i>
      <x v="5"/>
    </i>
    <i>
      <x v="6"/>
    </i>
    <i t="grand">
      <x/>
    </i>
  </rowItems>
  <colItems count="1">
    <i/>
  </colItems>
  <dataFields count="1">
    <dataField name="Sum of Sales Amount" fld="4" baseField="0" baseItem="0"/>
  </dataFields>
  <chartFormats count="3">
    <chartFormat chart="7"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A82BE-86ED-4711-A63D-CDF2DFD0D5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3:H17" firstHeaderRow="1" firstDataRow="1" firstDataCol="1"/>
  <pivotFields count="5">
    <pivotField showAll="0">
      <items count="16">
        <item x="8"/>
        <item x="0"/>
        <item x="11"/>
        <item x="14"/>
        <item x="9"/>
        <item x="7"/>
        <item x="3"/>
        <item x="13"/>
        <item x="1"/>
        <item x="10"/>
        <item x="2"/>
        <item x="5"/>
        <item x="4"/>
        <item x="12"/>
        <item x="6"/>
        <item t="default"/>
      </items>
    </pivotField>
    <pivotField axis="axisRow" showAll="0">
      <items count="4">
        <item x="1"/>
        <item x="2"/>
        <item x="0"/>
        <item t="default"/>
      </items>
    </pivotField>
    <pivotField showAll="0">
      <items count="5">
        <item x="1"/>
        <item x="0"/>
        <item x="3"/>
        <item x="2"/>
        <item t="default"/>
      </items>
    </pivotField>
    <pivotField showAll="0"/>
    <pivotField dataField="1" showAll="0"/>
  </pivotFields>
  <rowFields count="1">
    <field x="1"/>
  </rowFields>
  <rowItems count="4">
    <i>
      <x/>
    </i>
    <i>
      <x v="1"/>
    </i>
    <i>
      <x v="2"/>
    </i>
    <i t="grand">
      <x/>
    </i>
  </rowItems>
  <colItems count="1">
    <i/>
  </colItems>
  <dataFields count="1">
    <dataField name="Sum of Sales Amount" fld="4" baseField="0" baseItem="0"/>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1"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662B2-EF4C-411D-B8AF-0DB921CA4B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3:E18" firstHeaderRow="1" firstDataRow="1" firstDataCol="1"/>
  <pivotFields count="5">
    <pivotField showAll="0">
      <items count="16">
        <item x="8"/>
        <item x="0"/>
        <item x="11"/>
        <item x="14"/>
        <item x="9"/>
        <item x="7"/>
        <item x="3"/>
        <item x="13"/>
        <item x="1"/>
        <item x="10"/>
        <item x="2"/>
        <item x="5"/>
        <item x="4"/>
        <item x="12"/>
        <item x="6"/>
        <item t="default"/>
      </items>
    </pivotField>
    <pivotField showAll="0">
      <items count="4">
        <item x="1"/>
        <item x="2"/>
        <item x="0"/>
        <item t="default"/>
      </items>
    </pivotField>
    <pivotField axis="axisRow" showAll="0">
      <items count="5">
        <item x="1"/>
        <item x="0"/>
        <item x="3"/>
        <item x="2"/>
        <item t="default"/>
      </items>
    </pivotField>
    <pivotField showAll="0"/>
    <pivotField dataField="1" showAll="0"/>
  </pivotFields>
  <rowFields count="1">
    <field x="2"/>
  </rowFields>
  <rowItems count="5">
    <i>
      <x/>
    </i>
    <i>
      <x v="1"/>
    </i>
    <i>
      <x v="2"/>
    </i>
    <i>
      <x v="3"/>
    </i>
    <i t="grand">
      <x/>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20EFBF-7102-4E75-A16F-9EC83D5855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7" firstHeaderRow="1" firstDataRow="1" firstDataCol="1"/>
  <pivotFields count="5">
    <pivotField dataField="1" showAll="0">
      <items count="16">
        <item x="8"/>
        <item x="0"/>
        <item x="11"/>
        <item x="14"/>
        <item x="9"/>
        <item x="7"/>
        <item x="3"/>
        <item x="13"/>
        <item x="1"/>
        <item x="10"/>
        <item x="2"/>
        <item x="5"/>
        <item x="4"/>
        <item x="12"/>
        <item x="6"/>
        <item t="default"/>
      </items>
    </pivotField>
    <pivotField showAll="0">
      <items count="4">
        <item x="1"/>
        <item x="2"/>
        <item x="0"/>
        <item t="default"/>
      </items>
    </pivotField>
    <pivotField axis="axisRow" showAll="0">
      <items count="5">
        <item x="1"/>
        <item x="0"/>
        <item x="3"/>
        <item h="1" x="2"/>
        <item t="default"/>
      </items>
    </pivotField>
    <pivotField showAll="0">
      <items count="8">
        <item x="5"/>
        <item x="4"/>
        <item x="1"/>
        <item x="0"/>
        <item x="6"/>
        <item x="3"/>
        <item x="2"/>
        <item t="default"/>
      </items>
    </pivotField>
    <pivotField showAll="0">
      <items count="11">
        <item x="2"/>
        <item x="5"/>
        <item x="0"/>
        <item x="9"/>
        <item x="7"/>
        <item x="3"/>
        <item x="8"/>
        <item x="4"/>
        <item x="1"/>
        <item x="6"/>
        <item t="default"/>
      </items>
    </pivotField>
  </pivotFields>
  <rowFields count="1">
    <field x="2"/>
  </rowFields>
  <rowItems count="4">
    <i>
      <x/>
    </i>
    <i>
      <x v="1"/>
    </i>
    <i>
      <x v="2"/>
    </i>
    <i t="grand">
      <x/>
    </i>
  </rowItems>
  <colItems count="1">
    <i/>
  </colItems>
  <dataFields count="1">
    <dataField name="Count of Lead Name" fld="0"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0E1297B-6559-4219-94BC-DB1B346E6B0F}" sourceName="Status">
  <pivotTables>
    <pivotTable tabId="3" name="PivotTable3"/>
  </pivotTables>
  <data>
    <tabular pivotCacheId="112001897">
      <items count="4">
        <i x="1" s="1"/>
        <i x="0" s="1"/>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Breakdown" xr10:uid="{5F257402-83D4-4C43-B632-8F049A7E934F}" cache="Slicer_Status" caption="Status Breakdown" columnCount="4"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9F5810-F0B7-4A74-B625-D20F5A04CDC0}" name="Table1" displayName="Table1" ref="A1:F16" totalsRowShown="0" headerRowDxfId="1">
  <autoFilter ref="A1:F16" xr:uid="{219F5810-F0B7-4A74-B625-D20F5A04CDC0}"/>
  <tableColumns count="6">
    <tableColumn id="1" xr3:uid="{365AC77D-4E06-409D-8D90-30ED545E4B3C}" name="Lead Name"/>
    <tableColumn id="2" xr3:uid="{5E6CB104-E6DC-412A-B067-FAC12A8F1440}" name="Source"/>
    <tableColumn id="3" xr3:uid="{6CF140ED-8E64-4E9B-B6E4-55D0A96ADBEE}" name="Status"/>
    <tableColumn id="4" xr3:uid="{0827E6E4-6513-48DB-B5A8-CBAB267E6CDD}" name="District"/>
    <tableColumn id="5" xr3:uid="{0C1C3BBD-C54B-4213-8718-10F1FE5649D7}" name="Sales Amount"/>
    <tableColumn id="6" xr3:uid="{ED680835-8E83-47D1-88C0-750AE2856B23}" name="Remarks" dataDxfId="0">
      <calculatedColumnFormula>IF(E2=0,"Follow Up","Closed")</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B1A5-3C4B-4DE6-81F1-F1A610236E41}">
  <dimension ref="A1"/>
  <sheetViews>
    <sheetView tabSelected="1" topLeftCell="A34" workbookViewId="0">
      <selection activeCell="N56" sqref="N5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8438E-8471-4837-87BF-BBCF973FEFE6}">
  <dimension ref="A1:F16"/>
  <sheetViews>
    <sheetView workbookViewId="0">
      <selection activeCell="K7" sqref="K7"/>
    </sheetView>
  </sheetViews>
  <sheetFormatPr defaultRowHeight="14.4" x14ac:dyDescent="0.3"/>
  <cols>
    <col min="1" max="1" width="13.21875" customWidth="1"/>
    <col min="2" max="2" width="9.44140625" customWidth="1"/>
    <col min="3" max="3" width="12.33203125" bestFit="1" customWidth="1"/>
    <col min="4" max="4" width="9.6640625" customWidth="1"/>
    <col min="5" max="5" width="15.5546875" customWidth="1"/>
    <col min="6" max="6" width="11.33203125" bestFit="1" customWidth="1"/>
  </cols>
  <sheetData>
    <row r="1" spans="1:6" s="1" customFormat="1" ht="15.6" x14ac:dyDescent="0.3">
      <c r="A1" s="1" t="s">
        <v>32</v>
      </c>
      <c r="B1" s="1" t="s">
        <v>0</v>
      </c>
      <c r="C1" s="1" t="s">
        <v>1</v>
      </c>
      <c r="D1" s="1" t="s">
        <v>2</v>
      </c>
      <c r="E1" s="1" t="s">
        <v>16</v>
      </c>
      <c r="F1" s="1" t="s">
        <v>43</v>
      </c>
    </row>
    <row r="2" spans="1:6" x14ac:dyDescent="0.3">
      <c r="A2" t="s">
        <v>17</v>
      </c>
      <c r="B2" t="s">
        <v>3</v>
      </c>
      <c r="C2" t="s">
        <v>4</v>
      </c>
      <c r="D2" t="s">
        <v>5</v>
      </c>
      <c r="E2">
        <v>15000</v>
      </c>
      <c r="F2" t="str">
        <f t="shared" ref="F2:F16" si="0">IF(E2=0,"Follow Up","Closed")</f>
        <v>Closed</v>
      </c>
    </row>
    <row r="3" spans="1:6" x14ac:dyDescent="0.3">
      <c r="A3" t="s">
        <v>18</v>
      </c>
      <c r="B3" t="s">
        <v>6</v>
      </c>
      <c r="C3" t="s">
        <v>7</v>
      </c>
      <c r="D3" t="s">
        <v>8</v>
      </c>
      <c r="E3">
        <v>42000</v>
      </c>
      <c r="F3" t="str">
        <f t="shared" si="0"/>
        <v>Closed</v>
      </c>
    </row>
    <row r="4" spans="1:6" x14ac:dyDescent="0.3">
      <c r="A4" t="s">
        <v>19</v>
      </c>
      <c r="B4" t="s">
        <v>9</v>
      </c>
      <c r="C4" t="s">
        <v>4</v>
      </c>
      <c r="D4" t="s">
        <v>10</v>
      </c>
      <c r="E4">
        <v>0</v>
      </c>
      <c r="F4" t="str">
        <f t="shared" si="0"/>
        <v>Follow Up</v>
      </c>
    </row>
    <row r="5" spans="1:6" x14ac:dyDescent="0.3">
      <c r="A5" t="s">
        <v>20</v>
      </c>
      <c r="B5" t="s">
        <v>3</v>
      </c>
      <c r="C5" t="s">
        <v>11</v>
      </c>
      <c r="D5" t="s">
        <v>5</v>
      </c>
      <c r="E5">
        <v>0</v>
      </c>
      <c r="F5" t="str">
        <f t="shared" si="0"/>
        <v>Follow Up</v>
      </c>
    </row>
    <row r="6" spans="1:6" x14ac:dyDescent="0.3">
      <c r="A6" t="s">
        <v>21</v>
      </c>
      <c r="B6" t="s">
        <v>6</v>
      </c>
      <c r="C6" t="s">
        <v>4</v>
      </c>
      <c r="D6" t="s">
        <v>12</v>
      </c>
      <c r="E6">
        <v>20000</v>
      </c>
      <c r="F6" t="str">
        <f t="shared" si="0"/>
        <v>Closed</v>
      </c>
    </row>
    <row r="7" spans="1:6" x14ac:dyDescent="0.3">
      <c r="A7" t="s">
        <v>22</v>
      </c>
      <c r="B7" t="s">
        <v>9</v>
      </c>
      <c r="C7" t="s">
        <v>7</v>
      </c>
      <c r="D7" t="s">
        <v>13</v>
      </c>
      <c r="E7">
        <v>35000</v>
      </c>
      <c r="F7" t="str">
        <f t="shared" si="0"/>
        <v>Closed</v>
      </c>
    </row>
    <row r="8" spans="1:6" x14ac:dyDescent="0.3">
      <c r="A8" t="s">
        <v>23</v>
      </c>
      <c r="B8" t="s">
        <v>3</v>
      </c>
      <c r="C8" t="s">
        <v>33</v>
      </c>
      <c r="D8" t="s">
        <v>14</v>
      </c>
      <c r="E8">
        <v>0</v>
      </c>
      <c r="F8" t="str">
        <f t="shared" si="0"/>
        <v>Follow Up</v>
      </c>
    </row>
    <row r="9" spans="1:6" x14ac:dyDescent="0.3">
      <c r="A9" t="s">
        <v>24</v>
      </c>
      <c r="B9" t="s">
        <v>6</v>
      </c>
      <c r="C9" t="s">
        <v>11</v>
      </c>
      <c r="D9" t="s">
        <v>15</v>
      </c>
      <c r="E9">
        <v>0</v>
      </c>
      <c r="F9" t="str">
        <f t="shared" si="0"/>
        <v>Follow Up</v>
      </c>
    </row>
    <row r="10" spans="1:6" x14ac:dyDescent="0.3">
      <c r="A10" t="s">
        <v>25</v>
      </c>
      <c r="B10" t="s">
        <v>9</v>
      </c>
      <c r="C10" t="s">
        <v>4</v>
      </c>
      <c r="D10" t="s">
        <v>5</v>
      </c>
      <c r="E10">
        <v>12000</v>
      </c>
      <c r="F10" t="str">
        <f t="shared" si="0"/>
        <v>Closed</v>
      </c>
    </row>
    <row r="11" spans="1:6" x14ac:dyDescent="0.3">
      <c r="A11" t="s">
        <v>26</v>
      </c>
      <c r="B11" t="s">
        <v>3</v>
      </c>
      <c r="C11" t="s">
        <v>7</v>
      </c>
      <c r="D11" t="s">
        <v>8</v>
      </c>
      <c r="E11">
        <v>50000</v>
      </c>
      <c r="F11" t="str">
        <f t="shared" si="0"/>
        <v>Closed</v>
      </c>
    </row>
    <row r="12" spans="1:6" x14ac:dyDescent="0.3">
      <c r="A12" t="s">
        <v>27</v>
      </c>
      <c r="B12" t="s">
        <v>6</v>
      </c>
      <c r="C12" t="s">
        <v>4</v>
      </c>
      <c r="D12" t="s">
        <v>10</v>
      </c>
      <c r="E12">
        <v>18000</v>
      </c>
      <c r="F12" t="str">
        <f t="shared" si="0"/>
        <v>Closed</v>
      </c>
    </row>
    <row r="13" spans="1:6" x14ac:dyDescent="0.3">
      <c r="A13" t="s">
        <v>28</v>
      </c>
      <c r="B13" t="s">
        <v>9</v>
      </c>
      <c r="C13" t="s">
        <v>11</v>
      </c>
      <c r="D13" t="s">
        <v>13</v>
      </c>
      <c r="E13">
        <v>0</v>
      </c>
      <c r="F13" t="str">
        <f t="shared" si="0"/>
        <v>Follow Up</v>
      </c>
    </row>
    <row r="14" spans="1:6" x14ac:dyDescent="0.3">
      <c r="A14" t="s">
        <v>29</v>
      </c>
      <c r="B14" t="s">
        <v>3</v>
      </c>
      <c r="C14" t="s">
        <v>7</v>
      </c>
      <c r="D14" t="s">
        <v>14</v>
      </c>
      <c r="E14">
        <v>27000</v>
      </c>
      <c r="F14" t="str">
        <f t="shared" si="0"/>
        <v>Closed</v>
      </c>
    </row>
    <row r="15" spans="1:6" x14ac:dyDescent="0.3">
      <c r="A15" t="s">
        <v>30</v>
      </c>
      <c r="B15" t="s">
        <v>6</v>
      </c>
      <c r="C15" t="s">
        <v>4</v>
      </c>
      <c r="D15" t="s">
        <v>15</v>
      </c>
      <c r="E15">
        <v>0</v>
      </c>
      <c r="F15" t="str">
        <f t="shared" si="0"/>
        <v>Follow Up</v>
      </c>
    </row>
    <row r="16" spans="1:6" x14ac:dyDescent="0.3">
      <c r="A16" t="s">
        <v>31</v>
      </c>
      <c r="B16" t="s">
        <v>9</v>
      </c>
      <c r="C16" t="s">
        <v>33</v>
      </c>
      <c r="D16" t="s">
        <v>12</v>
      </c>
      <c r="E16">
        <v>16000</v>
      </c>
      <c r="F16" t="str">
        <f t="shared" si="0"/>
        <v>Closed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DA9E-2240-4324-88B2-F4D639EC143A}">
  <dimension ref="A2:I29"/>
  <sheetViews>
    <sheetView workbookViewId="0">
      <selection activeCell="L17" sqref="L17"/>
    </sheetView>
  </sheetViews>
  <sheetFormatPr defaultRowHeight="14.4" x14ac:dyDescent="0.3"/>
  <cols>
    <col min="1" max="2" width="12.44140625" bestFit="1" customWidth="1"/>
    <col min="3" max="3" width="18.5546875" bestFit="1" customWidth="1"/>
    <col min="4" max="5" width="12.44140625" bestFit="1" customWidth="1"/>
    <col min="6" max="6" width="18.5546875" bestFit="1" customWidth="1"/>
    <col min="7" max="7" width="10.5546875" bestFit="1" customWidth="1"/>
    <col min="8" max="8" width="12.44140625" bestFit="1" customWidth="1"/>
    <col min="9" max="9" width="17.6640625" bestFit="1" customWidth="1"/>
    <col min="10" max="10" width="10.109375" bestFit="1" customWidth="1"/>
    <col min="11" max="11" width="11.44140625" bestFit="1" customWidth="1"/>
    <col min="12" max="12" width="12.33203125" bestFit="1" customWidth="1"/>
    <col min="13" max="13" width="11.109375" bestFit="1" customWidth="1"/>
    <col min="14" max="14" width="11" bestFit="1" customWidth="1"/>
    <col min="15" max="15" width="11.44140625" bestFit="1" customWidth="1"/>
    <col min="16" max="16" width="11.6640625" bestFit="1" customWidth="1"/>
    <col min="17" max="17" width="10.5546875" bestFit="1" customWidth="1"/>
  </cols>
  <sheetData>
    <row r="2" spans="1:9" x14ac:dyDescent="0.3">
      <c r="A2" t="s">
        <v>40</v>
      </c>
      <c r="D2" t="s">
        <v>41</v>
      </c>
      <c r="H2" t="s">
        <v>42</v>
      </c>
    </row>
    <row r="3" spans="1:9" x14ac:dyDescent="0.3">
      <c r="A3" s="2" t="s">
        <v>34</v>
      </c>
      <c r="B3" t="s">
        <v>36</v>
      </c>
      <c r="D3" s="2" t="s">
        <v>34</v>
      </c>
      <c r="E3" t="s">
        <v>37</v>
      </c>
      <c r="F3" t="s">
        <v>36</v>
      </c>
      <c r="H3" s="2" t="s">
        <v>34</v>
      </c>
      <c r="I3" t="s">
        <v>36</v>
      </c>
    </row>
    <row r="4" spans="1:9" x14ac:dyDescent="0.3">
      <c r="A4" s="3" t="s">
        <v>25</v>
      </c>
      <c r="B4">
        <v>1</v>
      </c>
      <c r="D4" s="3" t="s">
        <v>7</v>
      </c>
      <c r="E4">
        <v>154000</v>
      </c>
      <c r="F4">
        <v>4</v>
      </c>
      <c r="H4" s="3" t="s">
        <v>7</v>
      </c>
      <c r="I4" s="7">
        <v>4</v>
      </c>
    </row>
    <row r="5" spans="1:9" x14ac:dyDescent="0.3">
      <c r="A5" s="3" t="s">
        <v>17</v>
      </c>
      <c r="B5">
        <v>1</v>
      </c>
      <c r="D5" s="4" t="s">
        <v>26</v>
      </c>
      <c r="E5">
        <v>50000</v>
      </c>
      <c r="F5">
        <v>1</v>
      </c>
      <c r="H5" s="3" t="s">
        <v>4</v>
      </c>
      <c r="I5" s="7">
        <v>6</v>
      </c>
    </row>
    <row r="6" spans="1:9" x14ac:dyDescent="0.3">
      <c r="A6" s="3" t="s">
        <v>28</v>
      </c>
      <c r="B6">
        <v>1</v>
      </c>
      <c r="D6" s="4" t="s">
        <v>18</v>
      </c>
      <c r="E6">
        <v>42000</v>
      </c>
      <c r="F6">
        <v>1</v>
      </c>
      <c r="H6" s="3" t="s">
        <v>33</v>
      </c>
      <c r="I6" s="7">
        <v>2</v>
      </c>
    </row>
    <row r="7" spans="1:9" x14ac:dyDescent="0.3">
      <c r="A7" s="3" t="s">
        <v>31</v>
      </c>
      <c r="B7">
        <v>1</v>
      </c>
      <c r="D7" s="4" t="s">
        <v>22</v>
      </c>
      <c r="E7">
        <v>35000</v>
      </c>
      <c r="F7">
        <v>1</v>
      </c>
      <c r="H7" s="3" t="s">
        <v>35</v>
      </c>
      <c r="I7" s="7">
        <v>12</v>
      </c>
    </row>
    <row r="8" spans="1:9" x14ac:dyDescent="0.3">
      <c r="A8" s="3" t="s">
        <v>26</v>
      </c>
      <c r="B8">
        <v>1</v>
      </c>
      <c r="D8" s="4" t="s">
        <v>29</v>
      </c>
      <c r="E8">
        <v>27000</v>
      </c>
      <c r="F8">
        <v>1</v>
      </c>
    </row>
    <row r="9" spans="1:9" ht="15.6" x14ac:dyDescent="0.3">
      <c r="A9" s="3" t="s">
        <v>24</v>
      </c>
      <c r="B9">
        <v>1</v>
      </c>
      <c r="D9" s="3" t="s">
        <v>35</v>
      </c>
      <c r="E9">
        <v>154000</v>
      </c>
      <c r="F9">
        <v>4</v>
      </c>
      <c r="H9" s="5" t="s">
        <v>38</v>
      </c>
      <c r="I9" s="1">
        <f>GETPIVOTDATA("Lead Name",$H$3,"Status","Converted")/GETPIVOTDATA("Lead Name",$H$3)*100</f>
        <v>33.333333333333329</v>
      </c>
    </row>
    <row r="10" spans="1:9" x14ac:dyDescent="0.3">
      <c r="A10" s="3" t="s">
        <v>20</v>
      </c>
      <c r="B10">
        <v>1</v>
      </c>
    </row>
    <row r="11" spans="1:9" x14ac:dyDescent="0.3">
      <c r="A11" s="3" t="s">
        <v>30</v>
      </c>
      <c r="B11">
        <v>1</v>
      </c>
    </row>
    <row r="12" spans="1:9" x14ac:dyDescent="0.3">
      <c r="A12" s="3" t="s">
        <v>18</v>
      </c>
      <c r="B12">
        <v>1</v>
      </c>
      <c r="D12" t="s">
        <v>39</v>
      </c>
    </row>
    <row r="13" spans="1:9" x14ac:dyDescent="0.3">
      <c r="A13" s="3" t="s">
        <v>27</v>
      </c>
      <c r="B13">
        <v>1</v>
      </c>
      <c r="D13" s="2" t="s">
        <v>34</v>
      </c>
      <c r="E13" t="s">
        <v>37</v>
      </c>
      <c r="G13" s="2" t="s">
        <v>34</v>
      </c>
      <c r="H13" t="s">
        <v>37</v>
      </c>
    </row>
    <row r="14" spans="1:9" x14ac:dyDescent="0.3">
      <c r="A14" s="3" t="s">
        <v>19</v>
      </c>
      <c r="B14">
        <v>1</v>
      </c>
      <c r="D14" s="3" t="s">
        <v>7</v>
      </c>
      <c r="E14">
        <v>154000</v>
      </c>
      <c r="G14" s="3" t="s">
        <v>6</v>
      </c>
      <c r="H14">
        <v>80000</v>
      </c>
    </row>
    <row r="15" spans="1:9" x14ac:dyDescent="0.3">
      <c r="A15" s="3" t="s">
        <v>22</v>
      </c>
      <c r="B15">
        <v>1</v>
      </c>
      <c r="D15" s="3" t="s">
        <v>4</v>
      </c>
      <c r="E15">
        <v>65000</v>
      </c>
      <c r="G15" s="3" t="s">
        <v>9</v>
      </c>
      <c r="H15">
        <v>63000</v>
      </c>
    </row>
    <row r="16" spans="1:9" x14ac:dyDescent="0.3">
      <c r="A16" s="3" t="s">
        <v>21</v>
      </c>
      <c r="B16">
        <v>1</v>
      </c>
      <c r="D16" s="3" t="s">
        <v>33</v>
      </c>
      <c r="E16">
        <v>16000</v>
      </c>
      <c r="G16" s="3" t="s">
        <v>3</v>
      </c>
      <c r="H16">
        <v>92000</v>
      </c>
    </row>
    <row r="17" spans="1:8" x14ac:dyDescent="0.3">
      <c r="A17" s="3" t="s">
        <v>29</v>
      </c>
      <c r="B17">
        <v>1</v>
      </c>
      <c r="D17" s="3" t="s">
        <v>11</v>
      </c>
      <c r="E17">
        <v>0</v>
      </c>
      <c r="G17" s="3" t="s">
        <v>35</v>
      </c>
      <c r="H17">
        <v>235000</v>
      </c>
    </row>
    <row r="18" spans="1:8" x14ac:dyDescent="0.3">
      <c r="A18" s="3" t="s">
        <v>23</v>
      </c>
      <c r="B18">
        <v>1</v>
      </c>
      <c r="D18" s="3" t="s">
        <v>35</v>
      </c>
      <c r="E18">
        <v>235000</v>
      </c>
    </row>
    <row r="19" spans="1:8" x14ac:dyDescent="0.3">
      <c r="A19" s="3" t="s">
        <v>35</v>
      </c>
      <c r="B19">
        <v>15</v>
      </c>
    </row>
    <row r="21" spans="1:8" x14ac:dyDescent="0.3">
      <c r="D21" s="2" t="s">
        <v>34</v>
      </c>
      <c r="E21" t="s">
        <v>37</v>
      </c>
    </row>
    <row r="22" spans="1:8" x14ac:dyDescent="0.3">
      <c r="D22" s="3" t="s">
        <v>14</v>
      </c>
      <c r="E22">
        <v>27000</v>
      </c>
    </row>
    <row r="23" spans="1:8" x14ac:dyDescent="0.3">
      <c r="D23" s="3" t="s">
        <v>13</v>
      </c>
      <c r="E23">
        <v>35000</v>
      </c>
    </row>
    <row r="24" spans="1:8" x14ac:dyDescent="0.3">
      <c r="D24" s="3" t="s">
        <v>8</v>
      </c>
      <c r="E24">
        <v>92000</v>
      </c>
    </row>
    <row r="25" spans="1:8" x14ac:dyDescent="0.3">
      <c r="D25" s="3" t="s">
        <v>5</v>
      </c>
      <c r="E25">
        <v>27000</v>
      </c>
    </row>
    <row r="26" spans="1:8" x14ac:dyDescent="0.3">
      <c r="D26" s="3" t="s">
        <v>15</v>
      </c>
      <c r="E26">
        <v>0</v>
      </c>
    </row>
    <row r="27" spans="1:8" x14ac:dyDescent="0.3">
      <c r="D27" s="3" t="s">
        <v>12</v>
      </c>
      <c r="E27">
        <v>36000</v>
      </c>
    </row>
    <row r="28" spans="1:8" x14ac:dyDescent="0.3">
      <c r="D28" s="3" t="s">
        <v>10</v>
      </c>
      <c r="E28">
        <v>18000</v>
      </c>
    </row>
    <row r="29" spans="1:8" x14ac:dyDescent="0.3">
      <c r="D29" s="3" t="s">
        <v>35</v>
      </c>
      <c r="E29">
        <v>235000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Report</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2026-05-27T06:50:57Z</dcterms:created>
  <dcterms:modified xsi:type="dcterms:W3CDTF">2026-05-27T12:40:43Z</dcterms:modified>
</cp:coreProperties>
</file>